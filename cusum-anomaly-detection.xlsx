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oedomaleski/Downloads/"/>
    </mc:Choice>
  </mc:AlternateContent>
  <xr:revisionPtr revIDLastSave="0" documentId="13_ncr:1_{42821ADC-BB75-694A-A1DC-62AD33F1FC55}" xr6:coauthVersionLast="47" xr6:coauthVersionMax="47" xr10:uidLastSave="{00000000-0000-0000-0000-000000000000}"/>
  <bookViews>
    <workbookView xWindow="-38380" yWindow="-4440" windowWidth="38400" windowHeight="21000" tabRatio="500" xr2:uid="{00000000-000D-0000-FFFF-FFFF00000000}"/>
  </bookViews>
  <sheets>
    <sheet name="CUSUM Model" sheetId="1" r:id="rId1"/>
    <sheet name="How it work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8" i="1" l="1"/>
  <c r="D68" i="1"/>
  <c r="G67" i="1"/>
  <c r="D67" i="1"/>
  <c r="G66" i="1"/>
  <c r="D66" i="1"/>
  <c r="G65" i="1"/>
  <c r="D65" i="1"/>
  <c r="G64" i="1"/>
  <c r="D64" i="1"/>
  <c r="G63" i="1"/>
  <c r="D63" i="1"/>
  <c r="G62" i="1"/>
  <c r="D62" i="1"/>
  <c r="G61" i="1"/>
  <c r="D61" i="1"/>
  <c r="G60" i="1"/>
  <c r="D60" i="1"/>
  <c r="G59" i="1"/>
  <c r="D59" i="1"/>
  <c r="G58" i="1"/>
  <c r="D58" i="1"/>
  <c r="G57" i="1"/>
  <c r="D57" i="1"/>
  <c r="G56" i="1"/>
  <c r="D56" i="1"/>
  <c r="G55" i="1"/>
  <c r="D55" i="1"/>
  <c r="G54" i="1"/>
  <c r="D54" i="1"/>
  <c r="G53" i="1"/>
  <c r="D53" i="1"/>
  <c r="G52" i="1"/>
  <c r="D52" i="1"/>
  <c r="G51" i="1"/>
  <c r="D51" i="1"/>
  <c r="G50" i="1"/>
  <c r="D50" i="1"/>
  <c r="G49" i="1"/>
  <c r="D49" i="1"/>
  <c r="G48" i="1"/>
  <c r="D48" i="1"/>
  <c r="G47" i="1"/>
  <c r="D47" i="1"/>
  <c r="G46" i="1"/>
  <c r="D46" i="1"/>
  <c r="G45" i="1"/>
  <c r="D45" i="1"/>
  <c r="G44" i="1"/>
  <c r="D44" i="1"/>
  <c r="G43" i="1"/>
  <c r="D43" i="1"/>
  <c r="G42" i="1"/>
  <c r="D42" i="1"/>
  <c r="G41" i="1"/>
  <c r="D41" i="1"/>
  <c r="G40" i="1"/>
  <c r="D40" i="1"/>
  <c r="G39" i="1"/>
  <c r="D39" i="1"/>
  <c r="G38" i="1"/>
  <c r="D38" i="1"/>
  <c r="G37" i="1"/>
  <c r="D37" i="1"/>
  <c r="G36" i="1"/>
  <c r="D36" i="1"/>
  <c r="G35" i="1"/>
  <c r="D35" i="1"/>
  <c r="G34" i="1"/>
  <c r="D34" i="1"/>
  <c r="G33" i="1"/>
  <c r="D33" i="1"/>
  <c r="G32" i="1"/>
  <c r="D32" i="1"/>
  <c r="G31" i="1"/>
  <c r="D31" i="1"/>
  <c r="G30" i="1"/>
  <c r="D30" i="1"/>
  <c r="G29" i="1"/>
  <c r="D29" i="1"/>
  <c r="G28" i="1"/>
  <c r="D28" i="1"/>
  <c r="G27" i="1"/>
  <c r="D27" i="1"/>
  <c r="G26" i="1"/>
  <c r="D26" i="1"/>
  <c r="G25" i="1"/>
  <c r="D25" i="1"/>
  <c r="G24" i="1"/>
  <c r="D24" i="1"/>
  <c r="G23" i="1"/>
  <c r="D23" i="1"/>
  <c r="G22" i="1"/>
  <c r="D22" i="1"/>
  <c r="G21" i="1"/>
  <c r="D21" i="1"/>
  <c r="G20" i="1"/>
  <c r="D20" i="1"/>
  <c r="G19" i="1"/>
  <c r="D19" i="1"/>
  <c r="G18" i="1"/>
  <c r="D18" i="1"/>
  <c r="G17" i="1"/>
  <c r="D17" i="1"/>
  <c r="G16" i="1"/>
  <c r="D16" i="1"/>
  <c r="G15" i="1"/>
  <c r="D15" i="1"/>
  <c r="G14" i="1"/>
  <c r="D14" i="1"/>
  <c r="G13" i="1"/>
  <c r="D13" i="1"/>
  <c r="G12" i="1"/>
  <c r="D12" i="1"/>
  <c r="G11" i="1"/>
  <c r="D11" i="1"/>
  <c r="G10" i="1"/>
  <c r="D10" i="1"/>
  <c r="G9" i="1"/>
  <c r="D9" i="1"/>
  <c r="E9" i="1" s="1"/>
  <c r="E10" i="1" l="1"/>
  <c r="F9" i="1"/>
  <c r="F10" i="1" l="1"/>
  <c r="E11" i="1"/>
  <c r="F11" i="1" l="1"/>
  <c r="E12" i="1"/>
  <c r="E13" i="1" l="1"/>
  <c r="F12" i="1"/>
  <c r="E14" i="1" l="1"/>
  <c r="F13" i="1"/>
  <c r="F14" i="1" l="1"/>
  <c r="E15" i="1"/>
  <c r="F15" i="1" l="1"/>
  <c r="E16" i="1"/>
  <c r="E17" i="1" l="1"/>
  <c r="F16" i="1"/>
  <c r="E18" i="1" l="1"/>
  <c r="F17" i="1"/>
  <c r="E19" i="1" l="1"/>
  <c r="F18" i="1"/>
  <c r="E20" i="1" l="1"/>
  <c r="F19" i="1"/>
  <c r="F20" i="1" l="1"/>
  <c r="E21" i="1"/>
  <c r="F21" i="1" l="1"/>
  <c r="E22" i="1"/>
  <c r="E23" i="1" l="1"/>
  <c r="F22" i="1"/>
  <c r="E24" i="1" l="1"/>
  <c r="F23" i="1"/>
  <c r="F24" i="1" l="1"/>
  <c r="E25" i="1"/>
  <c r="F25" i="1" l="1"/>
  <c r="E26" i="1"/>
  <c r="E27" i="1" l="1"/>
  <c r="F26" i="1"/>
  <c r="E28" i="1" l="1"/>
  <c r="F27" i="1"/>
  <c r="E29" i="1" l="1"/>
  <c r="F28" i="1"/>
  <c r="E30" i="1" l="1"/>
  <c r="F29" i="1"/>
  <c r="F30" i="1" l="1"/>
  <c r="E31" i="1"/>
  <c r="F31" i="1" l="1"/>
  <c r="E32" i="1"/>
  <c r="F32" i="1" l="1"/>
  <c r="E33" i="1"/>
  <c r="E34" i="1" l="1"/>
  <c r="F33" i="1"/>
  <c r="E35" i="1" l="1"/>
  <c r="F34" i="1"/>
  <c r="F35" i="1" l="1"/>
  <c r="E36" i="1"/>
  <c r="F36" i="1" l="1"/>
  <c r="E37" i="1"/>
  <c r="E38" i="1" l="1"/>
  <c r="F37" i="1"/>
  <c r="E39" i="1" l="1"/>
  <c r="F38" i="1"/>
  <c r="E40" i="1" l="1"/>
  <c r="F39" i="1"/>
  <c r="F40" i="1" l="1"/>
  <c r="E41" i="1"/>
  <c r="F41" i="1" l="1"/>
  <c r="E42" i="1"/>
  <c r="E43" i="1" l="1"/>
  <c r="F42" i="1"/>
  <c r="E44" i="1" l="1"/>
  <c r="F43" i="1"/>
  <c r="E45" i="1" l="1"/>
  <c r="F44" i="1"/>
  <c r="F45" i="1" l="1"/>
  <c r="E46" i="1"/>
  <c r="E47" i="1" l="1"/>
  <c r="F46" i="1"/>
  <c r="E48" i="1" l="1"/>
  <c r="F47" i="1"/>
  <c r="F48" i="1" l="1"/>
  <c r="E49" i="1"/>
  <c r="F49" i="1" l="1"/>
  <c r="E50" i="1"/>
  <c r="E51" i="1" l="1"/>
  <c r="F50" i="1"/>
  <c r="E52" i="1" l="1"/>
  <c r="F51" i="1"/>
  <c r="F52" i="1" l="1"/>
  <c r="E53" i="1"/>
  <c r="F53" i="1" l="1"/>
  <c r="E54" i="1"/>
  <c r="F54" i="1" l="1"/>
  <c r="E55" i="1"/>
  <c r="E56" i="1" l="1"/>
  <c r="F55" i="1"/>
  <c r="E57" i="1" l="1"/>
  <c r="F56" i="1"/>
  <c r="E58" i="1" l="1"/>
  <c r="F57" i="1"/>
  <c r="F58" i="1" l="1"/>
  <c r="E59" i="1"/>
  <c r="F59" i="1" l="1"/>
  <c r="E60" i="1"/>
  <c r="F60" i="1" l="1"/>
  <c r="E61" i="1"/>
  <c r="E62" i="1" l="1"/>
  <c r="F61" i="1"/>
  <c r="F62" i="1" l="1"/>
  <c r="E63" i="1"/>
  <c r="E64" i="1" l="1"/>
  <c r="F63" i="1"/>
  <c r="F64" i="1" l="1"/>
  <c r="E65" i="1"/>
  <c r="F65" i="1" l="1"/>
  <c r="E66" i="1"/>
  <c r="F66" i="1" l="1"/>
  <c r="E67" i="1"/>
  <c r="E68" i="1" l="1"/>
  <c r="F68" i="1" s="1"/>
  <c r="F67" i="1"/>
</calcChain>
</file>

<file path=xl/sharedStrings.xml><?xml version="1.0" encoding="utf-8"?>
<sst xmlns="http://schemas.openxmlformats.org/spreadsheetml/2006/main" count="39" uniqueCount="39">
  <si>
    <t>CUSUM Anomaly Detection: Catching a Slow Bot Creep</t>
  </si>
  <si>
    <t>Baseline sessions (mu)</t>
  </si>
  <si>
    <t>Slack / allowance (C)</t>
  </si>
  <si>
    <t>Threshold (T)</t>
  </si>
  <si>
    <t>Day</t>
  </si>
  <si>
    <t>Date</t>
  </si>
  <si>
    <t>Sessions</t>
  </si>
  <si>
    <t>Deviation
(Sessions - mu)</t>
  </si>
  <si>
    <t>CUSUM</t>
  </si>
  <si>
    <t>Alert?</t>
  </si>
  <si>
    <t>Threshold</t>
  </si>
  <si>
    <t>CUSUM Anomaly Detection - How it works</t>
  </si>
  <si>
    <t>The scenario</t>
  </si>
  <si>
    <t>Sixty days of daily website sessions. The first 40 days are clean and sit around 5,000 a day.</t>
  </si>
  <si>
    <t>Around day 41 a bot operation starts and slowly ramps up, adding a growing trickle of fake</t>
  </si>
  <si>
    <t>sessions. No single day ever looks alarming. Each day is only a little above the last.</t>
  </si>
  <si>
    <t>CUSUM adds up the small, persistent excess and flags the drift on day 48, well before any</t>
  </si>
  <si>
    <t>single day would trip a z-score or a control chart.</t>
  </si>
  <si>
    <t>The three knobs (yellow cells on the model sheet)</t>
  </si>
  <si>
    <t>mu  - your normal level. Estimate it from a stretch you know is clean.</t>
  </si>
  <si>
    <t>C   - slack. Ignore daily noise smaller than this. Bigger C means less sensitive.</t>
  </si>
  <si>
    <t>T   - threshold. How much accumulated drift you tolerate before you alert.</t>
  </si>
  <si>
    <t>The one formula doing all the work</t>
  </si>
  <si>
    <t>CUSUM today = MAX(0, CUSUM yesterday + (Sessions today - mu) - C)</t>
  </si>
  <si>
    <t>Alert when CUSUM is greater than T. The MAX(0, ...) keeps a quiet stretch from</t>
  </si>
  <si>
    <t>building negative credit that would slow down the next real detection.</t>
  </si>
  <si>
    <t>Try it yourself</t>
  </si>
  <si>
    <t>Lower T and the alert fires sooner, but you will catch more false alarms.</t>
  </si>
  <si>
    <t>Raise C and you ignore more noise, but you react slower. That is the precision-versus-recall</t>
  </si>
  <si>
    <t>tradeoff from the article, made tangible.</t>
  </si>
  <si>
    <t>Catching a drop instead of a rise</t>
  </si>
  <si>
    <t>This sheet runs a one-sided upper CUSUM, built to catch an increase like bot inflation.</t>
  </si>
  <si>
    <t>To catch a metric falling (a tracking event quietly dying), flip the sign: track</t>
  </si>
  <si>
    <t>MAX(0, prior + (mu - Sessions) - C) instead.</t>
  </si>
  <si>
    <t>References</t>
  </si>
  <si>
    <t>Page, E. S. (1954). Continuous Inspection Schemes. Biometrika. (origin of CUSUM)</t>
  </si>
  <si>
    <t>Montgomery, D. C. Introduction to Statistical Quality Control. (CUSUM in depth)</t>
  </si>
  <si>
    <t>Companion article: When the Numbers Look Wrong - A Marketer's Guide to Anomaly Detection.</t>
  </si>
  <si>
    <t>&lt;- change these three values and watch the alert 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</si>
</sst>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name val="Arial"/>
      <charset val="1"/>
    </font>
    <font>
      <b/>
      <sz val="12"/>
      <name val="Arial"/>
      <charset val="1"/>
    </font>
    <font>
      <i/>
      <sz val="11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3" fontId="3" fillId="2" borderId="1" xfId="0" applyNumberFormat="1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5" fillId="0" borderId="1" xfId="0" applyNumberFormat="1" applyFont="1" applyBorder="1"/>
    <xf numFmtId="3" fontId="3" fillId="0" borderId="1" xfId="0" applyNumberFormat="1" applyFont="1" applyBorder="1"/>
    <xf numFmtId="3" fontId="5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1">
    <dxf>
      <font>
        <b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A7EBB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CUSUM vs threshold: catching the slow bot creep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'CUSUM Model'!$E$8</c:f>
              <c:strCache>
                <c:ptCount val="1"/>
                <c:pt idx="0">
                  <c:v>CUSUM</c:v>
                </c:pt>
              </c:strCache>
            </c:strRef>
          </c:tx>
          <c:spPr>
            <a:ln w="219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'CUSUM Model'!$A$9:$A$68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'CUSUM Model'!$E$9:$E$68</c:f>
              <c:numCache>
                <c:formatCode>#,##0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53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31</c:v>
                </c:pt>
                <c:pt idx="11">
                  <c:v>49</c:v>
                </c:pt>
                <c:pt idx="12">
                  <c:v>0</c:v>
                </c:pt>
                <c:pt idx="13">
                  <c:v>60</c:v>
                </c:pt>
                <c:pt idx="14">
                  <c:v>41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182</c:v>
                </c:pt>
                <c:pt idx="31">
                  <c:v>58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60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</c:v>
                </c:pt>
                <c:pt idx="40">
                  <c:v>47</c:v>
                </c:pt>
                <c:pt idx="41">
                  <c:v>97</c:v>
                </c:pt>
                <c:pt idx="42">
                  <c:v>32</c:v>
                </c:pt>
                <c:pt idx="43">
                  <c:v>105</c:v>
                </c:pt>
                <c:pt idx="44">
                  <c:v>194</c:v>
                </c:pt>
                <c:pt idx="45">
                  <c:v>325</c:v>
                </c:pt>
                <c:pt idx="46">
                  <c:v>565</c:v>
                </c:pt>
                <c:pt idx="47">
                  <c:v>757</c:v>
                </c:pt>
                <c:pt idx="48">
                  <c:v>1033</c:v>
                </c:pt>
                <c:pt idx="49">
                  <c:v>1266</c:v>
                </c:pt>
                <c:pt idx="50">
                  <c:v>1556</c:v>
                </c:pt>
                <c:pt idx="51">
                  <c:v>1917</c:v>
                </c:pt>
                <c:pt idx="52">
                  <c:v>2057</c:v>
                </c:pt>
                <c:pt idx="53">
                  <c:v>2364</c:v>
                </c:pt>
                <c:pt idx="54">
                  <c:v>2683</c:v>
                </c:pt>
                <c:pt idx="55">
                  <c:v>3011</c:v>
                </c:pt>
                <c:pt idx="56">
                  <c:v>3413</c:v>
                </c:pt>
                <c:pt idx="57">
                  <c:v>4057</c:v>
                </c:pt>
                <c:pt idx="58">
                  <c:v>4448</c:v>
                </c:pt>
                <c:pt idx="59">
                  <c:v>5089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821-C649-BA32-5A951AFA1081}"/>
            </c:ext>
          </c:extLst>
        </c:ser>
        <c:ser>
          <c:idx val="1"/>
          <c:order val="1"/>
          <c:tx>
            <c:strRef>
              <c:f>'CUSUM Model'!$G$8</c:f>
              <c:strCache>
                <c:ptCount val="1"/>
                <c:pt idx="0">
                  <c:v>Threshold</c:v>
                </c:pt>
              </c:strCache>
            </c:strRef>
          </c:tx>
          <c:spPr>
            <a:ln w="2844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'CUSUM Model'!$A$9:$A$68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'CUSUM Model'!$G$9:$G$68</c:f>
              <c:numCache>
                <c:formatCode>#,##0</c:formatCode>
                <c:ptCount val="60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  <c:pt idx="4">
                  <c:v>600</c:v>
                </c:pt>
                <c:pt idx="5">
                  <c:v>600</c:v>
                </c:pt>
                <c:pt idx="6">
                  <c:v>600</c:v>
                </c:pt>
                <c:pt idx="7">
                  <c:v>600</c:v>
                </c:pt>
                <c:pt idx="8">
                  <c:v>600</c:v>
                </c:pt>
                <c:pt idx="9">
                  <c:v>600</c:v>
                </c:pt>
                <c:pt idx="10">
                  <c:v>600</c:v>
                </c:pt>
                <c:pt idx="11">
                  <c:v>600</c:v>
                </c:pt>
                <c:pt idx="12">
                  <c:v>600</c:v>
                </c:pt>
                <c:pt idx="13">
                  <c:v>600</c:v>
                </c:pt>
                <c:pt idx="14">
                  <c:v>600</c:v>
                </c:pt>
                <c:pt idx="15">
                  <c:v>600</c:v>
                </c:pt>
                <c:pt idx="16">
                  <c:v>600</c:v>
                </c:pt>
                <c:pt idx="17">
                  <c:v>600</c:v>
                </c:pt>
                <c:pt idx="18">
                  <c:v>600</c:v>
                </c:pt>
                <c:pt idx="19">
                  <c:v>600</c:v>
                </c:pt>
                <c:pt idx="20">
                  <c:v>600</c:v>
                </c:pt>
                <c:pt idx="21">
                  <c:v>600</c:v>
                </c:pt>
                <c:pt idx="22">
                  <c:v>600</c:v>
                </c:pt>
                <c:pt idx="23">
                  <c:v>600</c:v>
                </c:pt>
                <c:pt idx="24">
                  <c:v>600</c:v>
                </c:pt>
                <c:pt idx="25">
                  <c:v>600</c:v>
                </c:pt>
                <c:pt idx="26">
                  <c:v>600</c:v>
                </c:pt>
                <c:pt idx="27">
                  <c:v>600</c:v>
                </c:pt>
                <c:pt idx="28">
                  <c:v>600</c:v>
                </c:pt>
                <c:pt idx="29">
                  <c:v>600</c:v>
                </c:pt>
                <c:pt idx="30">
                  <c:v>600</c:v>
                </c:pt>
                <c:pt idx="31">
                  <c:v>600</c:v>
                </c:pt>
                <c:pt idx="32">
                  <c:v>600</c:v>
                </c:pt>
                <c:pt idx="33">
                  <c:v>600</c:v>
                </c:pt>
                <c:pt idx="34">
                  <c:v>600</c:v>
                </c:pt>
                <c:pt idx="35">
                  <c:v>600</c:v>
                </c:pt>
                <c:pt idx="36">
                  <c:v>600</c:v>
                </c:pt>
                <c:pt idx="37">
                  <c:v>600</c:v>
                </c:pt>
                <c:pt idx="38">
                  <c:v>600</c:v>
                </c:pt>
                <c:pt idx="39">
                  <c:v>600</c:v>
                </c:pt>
                <c:pt idx="40">
                  <c:v>600</c:v>
                </c:pt>
                <c:pt idx="41">
                  <c:v>600</c:v>
                </c:pt>
                <c:pt idx="42">
                  <c:v>600</c:v>
                </c:pt>
                <c:pt idx="43">
                  <c:v>600</c:v>
                </c:pt>
                <c:pt idx="44">
                  <c:v>600</c:v>
                </c:pt>
                <c:pt idx="45">
                  <c:v>600</c:v>
                </c:pt>
                <c:pt idx="46">
                  <c:v>600</c:v>
                </c:pt>
                <c:pt idx="47">
                  <c:v>600</c:v>
                </c:pt>
                <c:pt idx="48">
                  <c:v>600</c:v>
                </c:pt>
                <c:pt idx="49">
                  <c:v>600</c:v>
                </c:pt>
                <c:pt idx="50">
                  <c:v>600</c:v>
                </c:pt>
                <c:pt idx="51">
                  <c:v>600</c:v>
                </c:pt>
                <c:pt idx="52">
                  <c:v>600</c:v>
                </c:pt>
                <c:pt idx="53">
                  <c:v>600</c:v>
                </c:pt>
                <c:pt idx="54">
                  <c:v>600</c:v>
                </c:pt>
                <c:pt idx="55">
                  <c:v>600</c:v>
                </c:pt>
                <c:pt idx="56">
                  <c:v>600</c:v>
                </c:pt>
                <c:pt idx="57">
                  <c:v>600</c:v>
                </c:pt>
                <c:pt idx="58">
                  <c:v>600</c:v>
                </c:pt>
                <c:pt idx="59">
                  <c:v>600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821-C649-BA32-5A951AFA1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3390553"/>
        <c:axId val="34340694"/>
      </c:lineChart>
      <c:catAx>
        <c:axId val="933905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340694"/>
        <c:crosses val="autoZero"/>
        <c:auto val="1"/>
        <c:lblAlgn val="ctr"/>
        <c:lblOffset val="100"/>
        <c:noMultiLvlLbl val="0"/>
      </c:catAx>
      <c:valAx>
        <c:axId val="343406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CUSUM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3905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160560</xdr:rowOff>
    </xdr:from>
    <xdr:to>
      <xdr:col>23</xdr:col>
      <xdr:colOff>431800</xdr:colOff>
      <xdr:row>29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zoomScaleNormal="100" workbookViewId="0">
      <pane ySplit="8" topLeftCell="A9" activePane="bottomLeft" state="frozen"/>
      <selection pane="bottomLeft" activeCell="Q82" sqref="Q82"/>
    </sheetView>
  </sheetViews>
  <sheetFormatPr baseColWidth="10" defaultColWidth="8.6640625" defaultRowHeight="15" x14ac:dyDescent="0.2"/>
  <cols>
    <col min="1" max="1" width="21.83203125" customWidth="1"/>
    <col min="2" max="2" width="12" customWidth="1"/>
    <col min="3" max="3" width="11" customWidth="1"/>
    <col min="4" max="4" width="18.1640625" customWidth="1"/>
    <col min="5" max="5" width="10" customWidth="1"/>
    <col min="6" max="6" width="9" customWidth="1"/>
    <col min="7" max="7" width="11" customWidth="1"/>
  </cols>
  <sheetData>
    <row r="1" spans="1:7" ht="18" x14ac:dyDescent="0.2">
      <c r="A1" s="1" t="s">
        <v>0</v>
      </c>
      <c r="B1" s="1"/>
      <c r="C1" s="1"/>
      <c r="D1" s="1"/>
      <c r="E1" s="1"/>
      <c r="F1" s="1"/>
      <c r="G1" s="1"/>
    </row>
    <row r="3" spans="1:7" x14ac:dyDescent="0.2">
      <c r="A3" s="3" t="s">
        <v>1</v>
      </c>
      <c r="B3" s="4">
        <v>5000</v>
      </c>
      <c r="C3" s="13" t="s">
        <v>38</v>
      </c>
    </row>
    <row r="4" spans="1:7" x14ac:dyDescent="0.2">
      <c r="A4" s="3" t="s">
        <v>2</v>
      </c>
      <c r="B4" s="4">
        <v>75</v>
      </c>
    </row>
    <row r="5" spans="1:7" x14ac:dyDescent="0.2">
      <c r="A5" s="3" t="s">
        <v>3</v>
      </c>
      <c r="B5" s="4">
        <v>600</v>
      </c>
    </row>
    <row r="8" spans="1:7" ht="30" customHeight="1" x14ac:dyDescent="0.2">
      <c r="A8" s="5" t="s">
        <v>4</v>
      </c>
      <c r="B8" s="5" t="s">
        <v>5</v>
      </c>
      <c r="C8" s="5" t="s">
        <v>6</v>
      </c>
      <c r="D8" s="5" t="s">
        <v>7</v>
      </c>
      <c r="E8" s="5" t="s">
        <v>8</v>
      </c>
      <c r="F8" s="5" t="s">
        <v>9</v>
      </c>
      <c r="G8" s="5" t="s">
        <v>10</v>
      </c>
    </row>
    <row r="9" spans="1:7" x14ac:dyDescent="0.2">
      <c r="A9" s="6">
        <v>1</v>
      </c>
      <c r="B9" s="7">
        <v>46113</v>
      </c>
      <c r="C9" s="8">
        <v>5037</v>
      </c>
      <c r="D9" s="9">
        <f t="shared" ref="D9:D40" si="0">C9-$B$3</f>
        <v>37</v>
      </c>
      <c r="E9" s="9">
        <f>MAX(0,D9-$B$4)</f>
        <v>0</v>
      </c>
      <c r="F9" s="10" t="str">
        <f t="shared" ref="F9:F40" si="1">IF(E9&gt;$B$5,"ALERT","")</f>
        <v/>
      </c>
      <c r="G9" s="9">
        <f t="shared" ref="G9:G40" si="2">$B$5</f>
        <v>600</v>
      </c>
    </row>
    <row r="10" spans="1:7" x14ac:dyDescent="0.2">
      <c r="A10" s="6">
        <v>2</v>
      </c>
      <c r="B10" s="7">
        <v>46114</v>
      </c>
      <c r="C10" s="8">
        <v>4875</v>
      </c>
      <c r="D10" s="9">
        <f t="shared" si="0"/>
        <v>-125</v>
      </c>
      <c r="E10" s="9">
        <f t="shared" ref="E10:E41" si="3">MAX(0,E9+D10-$B$4)</f>
        <v>0</v>
      </c>
      <c r="F10" s="10" t="str">
        <f t="shared" si="1"/>
        <v/>
      </c>
      <c r="G10" s="9">
        <f t="shared" si="2"/>
        <v>600</v>
      </c>
    </row>
    <row r="11" spans="1:7" x14ac:dyDescent="0.2">
      <c r="A11" s="6">
        <v>3</v>
      </c>
      <c r="B11" s="7">
        <v>46115</v>
      </c>
      <c r="C11" s="8">
        <v>5090</v>
      </c>
      <c r="D11" s="9">
        <f t="shared" si="0"/>
        <v>90</v>
      </c>
      <c r="E11" s="9">
        <f t="shared" si="3"/>
        <v>15</v>
      </c>
      <c r="F11" s="10" t="str">
        <f t="shared" si="1"/>
        <v/>
      </c>
      <c r="G11" s="9">
        <f t="shared" si="2"/>
        <v>600</v>
      </c>
    </row>
    <row r="12" spans="1:7" x14ac:dyDescent="0.2">
      <c r="A12" s="6">
        <v>4</v>
      </c>
      <c r="B12" s="7">
        <v>46116</v>
      </c>
      <c r="C12" s="8">
        <v>5113</v>
      </c>
      <c r="D12" s="9">
        <f t="shared" si="0"/>
        <v>113</v>
      </c>
      <c r="E12" s="9">
        <f t="shared" si="3"/>
        <v>53</v>
      </c>
      <c r="F12" s="10" t="str">
        <f t="shared" si="1"/>
        <v/>
      </c>
      <c r="G12" s="9">
        <f t="shared" si="2"/>
        <v>600</v>
      </c>
    </row>
    <row r="13" spans="1:7" x14ac:dyDescent="0.2">
      <c r="A13" s="6">
        <v>5</v>
      </c>
      <c r="B13" s="7">
        <v>46117</v>
      </c>
      <c r="C13" s="8">
        <v>4766</v>
      </c>
      <c r="D13" s="9">
        <f t="shared" si="0"/>
        <v>-234</v>
      </c>
      <c r="E13" s="9">
        <f t="shared" si="3"/>
        <v>0</v>
      </c>
      <c r="F13" s="10" t="str">
        <f t="shared" si="1"/>
        <v/>
      </c>
      <c r="G13" s="9">
        <f t="shared" si="2"/>
        <v>600</v>
      </c>
    </row>
    <row r="14" spans="1:7" x14ac:dyDescent="0.2">
      <c r="A14" s="6">
        <v>6</v>
      </c>
      <c r="B14" s="7">
        <v>46118</v>
      </c>
      <c r="C14" s="8">
        <v>4844</v>
      </c>
      <c r="D14" s="9">
        <f t="shared" si="0"/>
        <v>-156</v>
      </c>
      <c r="E14" s="9">
        <f t="shared" si="3"/>
        <v>0</v>
      </c>
      <c r="F14" s="10" t="str">
        <f t="shared" si="1"/>
        <v/>
      </c>
      <c r="G14" s="9">
        <f t="shared" si="2"/>
        <v>600</v>
      </c>
    </row>
    <row r="15" spans="1:7" x14ac:dyDescent="0.2">
      <c r="A15" s="6">
        <v>7</v>
      </c>
      <c r="B15" s="7">
        <v>46119</v>
      </c>
      <c r="C15" s="8">
        <v>5015</v>
      </c>
      <c r="D15" s="9">
        <f t="shared" si="0"/>
        <v>15</v>
      </c>
      <c r="E15" s="9">
        <f t="shared" si="3"/>
        <v>0</v>
      </c>
      <c r="F15" s="10" t="str">
        <f t="shared" si="1"/>
        <v/>
      </c>
      <c r="G15" s="9">
        <f t="shared" si="2"/>
        <v>600</v>
      </c>
    </row>
    <row r="16" spans="1:7" x14ac:dyDescent="0.2">
      <c r="A16" s="6">
        <v>8</v>
      </c>
      <c r="B16" s="7">
        <v>46120</v>
      </c>
      <c r="C16" s="8">
        <v>4962</v>
      </c>
      <c r="D16" s="9">
        <f t="shared" si="0"/>
        <v>-38</v>
      </c>
      <c r="E16" s="9">
        <f t="shared" si="3"/>
        <v>0</v>
      </c>
      <c r="F16" s="10" t="str">
        <f t="shared" si="1"/>
        <v/>
      </c>
      <c r="G16" s="9">
        <f t="shared" si="2"/>
        <v>600</v>
      </c>
    </row>
    <row r="17" spans="1:7" x14ac:dyDescent="0.2">
      <c r="A17" s="6">
        <v>9</v>
      </c>
      <c r="B17" s="7">
        <v>46121</v>
      </c>
      <c r="C17" s="8">
        <v>4998</v>
      </c>
      <c r="D17" s="9">
        <f t="shared" si="0"/>
        <v>-2</v>
      </c>
      <c r="E17" s="9">
        <f t="shared" si="3"/>
        <v>0</v>
      </c>
      <c r="F17" s="10" t="str">
        <f t="shared" si="1"/>
        <v/>
      </c>
      <c r="G17" s="9">
        <f t="shared" si="2"/>
        <v>600</v>
      </c>
    </row>
    <row r="18" spans="1:7" x14ac:dyDescent="0.2">
      <c r="A18" s="6">
        <v>10</v>
      </c>
      <c r="B18" s="7">
        <v>46122</v>
      </c>
      <c r="C18" s="8">
        <v>4898</v>
      </c>
      <c r="D18" s="9">
        <f t="shared" si="0"/>
        <v>-102</v>
      </c>
      <c r="E18" s="9">
        <f t="shared" si="3"/>
        <v>0</v>
      </c>
      <c r="F18" s="10" t="str">
        <f t="shared" si="1"/>
        <v/>
      </c>
      <c r="G18" s="9">
        <f t="shared" si="2"/>
        <v>600</v>
      </c>
    </row>
    <row r="19" spans="1:7" x14ac:dyDescent="0.2">
      <c r="A19" s="6">
        <v>11</v>
      </c>
      <c r="B19" s="7">
        <v>46123</v>
      </c>
      <c r="C19" s="8">
        <v>5106</v>
      </c>
      <c r="D19" s="9">
        <f t="shared" si="0"/>
        <v>106</v>
      </c>
      <c r="E19" s="9">
        <f t="shared" si="3"/>
        <v>31</v>
      </c>
      <c r="F19" s="10" t="str">
        <f t="shared" si="1"/>
        <v/>
      </c>
      <c r="G19" s="9">
        <f t="shared" si="2"/>
        <v>600</v>
      </c>
    </row>
    <row r="20" spans="1:7" x14ac:dyDescent="0.2">
      <c r="A20" s="6">
        <v>12</v>
      </c>
      <c r="B20" s="7">
        <v>46124</v>
      </c>
      <c r="C20" s="8">
        <v>5093</v>
      </c>
      <c r="D20" s="9">
        <f t="shared" si="0"/>
        <v>93</v>
      </c>
      <c r="E20" s="9">
        <f t="shared" si="3"/>
        <v>49</v>
      </c>
      <c r="F20" s="10" t="str">
        <f t="shared" si="1"/>
        <v/>
      </c>
      <c r="G20" s="9">
        <f t="shared" si="2"/>
        <v>600</v>
      </c>
    </row>
    <row r="21" spans="1:7" x14ac:dyDescent="0.2">
      <c r="A21" s="6">
        <v>13</v>
      </c>
      <c r="B21" s="7">
        <v>46125</v>
      </c>
      <c r="C21" s="8">
        <v>5008</v>
      </c>
      <c r="D21" s="9">
        <f t="shared" si="0"/>
        <v>8</v>
      </c>
      <c r="E21" s="9">
        <f t="shared" si="3"/>
        <v>0</v>
      </c>
      <c r="F21" s="10" t="str">
        <f t="shared" si="1"/>
        <v/>
      </c>
      <c r="G21" s="9">
        <f t="shared" si="2"/>
        <v>600</v>
      </c>
    </row>
    <row r="22" spans="1:7" x14ac:dyDescent="0.2">
      <c r="A22" s="6">
        <v>14</v>
      </c>
      <c r="B22" s="7">
        <v>46126</v>
      </c>
      <c r="C22" s="8">
        <v>5135</v>
      </c>
      <c r="D22" s="9">
        <f t="shared" si="0"/>
        <v>135</v>
      </c>
      <c r="E22" s="9">
        <f t="shared" si="3"/>
        <v>60</v>
      </c>
      <c r="F22" s="10" t="str">
        <f t="shared" si="1"/>
        <v/>
      </c>
      <c r="G22" s="9">
        <f t="shared" si="2"/>
        <v>600</v>
      </c>
    </row>
    <row r="23" spans="1:7" x14ac:dyDescent="0.2">
      <c r="A23" s="6">
        <v>15</v>
      </c>
      <c r="B23" s="7">
        <v>46127</v>
      </c>
      <c r="C23" s="8">
        <v>5056</v>
      </c>
      <c r="D23" s="9">
        <f t="shared" si="0"/>
        <v>56</v>
      </c>
      <c r="E23" s="9">
        <f t="shared" si="3"/>
        <v>41</v>
      </c>
      <c r="F23" s="10" t="str">
        <f t="shared" si="1"/>
        <v/>
      </c>
      <c r="G23" s="9">
        <f t="shared" si="2"/>
        <v>600</v>
      </c>
    </row>
    <row r="24" spans="1:7" x14ac:dyDescent="0.2">
      <c r="A24" s="6">
        <v>16</v>
      </c>
      <c r="B24" s="7">
        <v>46128</v>
      </c>
      <c r="C24" s="8">
        <v>4897</v>
      </c>
      <c r="D24" s="9">
        <f t="shared" si="0"/>
        <v>-103</v>
      </c>
      <c r="E24" s="9">
        <f t="shared" si="3"/>
        <v>0</v>
      </c>
      <c r="F24" s="10" t="str">
        <f t="shared" si="1"/>
        <v/>
      </c>
      <c r="G24" s="9">
        <f t="shared" si="2"/>
        <v>600</v>
      </c>
    </row>
    <row r="25" spans="1:7" x14ac:dyDescent="0.2">
      <c r="A25" s="6">
        <v>17</v>
      </c>
      <c r="B25" s="7">
        <v>46129</v>
      </c>
      <c r="C25" s="8">
        <v>5044</v>
      </c>
      <c r="D25" s="9">
        <f t="shared" si="0"/>
        <v>44</v>
      </c>
      <c r="E25" s="9">
        <f t="shared" si="3"/>
        <v>0</v>
      </c>
      <c r="F25" s="10" t="str">
        <f t="shared" si="1"/>
        <v/>
      </c>
      <c r="G25" s="9">
        <f t="shared" si="2"/>
        <v>600</v>
      </c>
    </row>
    <row r="26" spans="1:7" x14ac:dyDescent="0.2">
      <c r="A26" s="6">
        <v>18</v>
      </c>
      <c r="B26" s="7">
        <v>46130</v>
      </c>
      <c r="C26" s="8">
        <v>4885</v>
      </c>
      <c r="D26" s="9">
        <f t="shared" si="0"/>
        <v>-115</v>
      </c>
      <c r="E26" s="9">
        <f t="shared" si="3"/>
        <v>0</v>
      </c>
      <c r="F26" s="10" t="str">
        <f t="shared" si="1"/>
        <v/>
      </c>
      <c r="G26" s="9">
        <f t="shared" si="2"/>
        <v>600</v>
      </c>
    </row>
    <row r="27" spans="1:7" x14ac:dyDescent="0.2">
      <c r="A27" s="6">
        <v>19</v>
      </c>
      <c r="B27" s="7">
        <v>46131</v>
      </c>
      <c r="C27" s="8">
        <v>5105</v>
      </c>
      <c r="D27" s="9">
        <f t="shared" si="0"/>
        <v>105</v>
      </c>
      <c r="E27" s="9">
        <f t="shared" si="3"/>
        <v>30</v>
      </c>
      <c r="F27" s="10" t="str">
        <f t="shared" si="1"/>
        <v/>
      </c>
      <c r="G27" s="9">
        <f t="shared" si="2"/>
        <v>600</v>
      </c>
    </row>
    <row r="28" spans="1:7" x14ac:dyDescent="0.2">
      <c r="A28" s="6">
        <v>20</v>
      </c>
      <c r="B28" s="7">
        <v>46132</v>
      </c>
      <c r="C28" s="8">
        <v>4994</v>
      </c>
      <c r="D28" s="9">
        <f t="shared" si="0"/>
        <v>-6</v>
      </c>
      <c r="E28" s="9">
        <f t="shared" si="3"/>
        <v>0</v>
      </c>
      <c r="F28" s="10" t="str">
        <f t="shared" si="1"/>
        <v/>
      </c>
      <c r="G28" s="9">
        <f t="shared" si="2"/>
        <v>600</v>
      </c>
    </row>
    <row r="29" spans="1:7" x14ac:dyDescent="0.2">
      <c r="A29" s="6">
        <v>21</v>
      </c>
      <c r="B29" s="7">
        <v>46133</v>
      </c>
      <c r="C29" s="8">
        <v>4978</v>
      </c>
      <c r="D29" s="9">
        <f t="shared" si="0"/>
        <v>-22</v>
      </c>
      <c r="E29" s="9">
        <f t="shared" si="3"/>
        <v>0</v>
      </c>
      <c r="F29" s="10" t="str">
        <f t="shared" si="1"/>
        <v/>
      </c>
      <c r="G29" s="9">
        <f t="shared" si="2"/>
        <v>600</v>
      </c>
    </row>
    <row r="30" spans="1:7" x14ac:dyDescent="0.2">
      <c r="A30" s="6">
        <v>22</v>
      </c>
      <c r="B30" s="7">
        <v>46134</v>
      </c>
      <c r="C30" s="8">
        <v>4918</v>
      </c>
      <c r="D30" s="9">
        <f t="shared" si="0"/>
        <v>-82</v>
      </c>
      <c r="E30" s="9">
        <f t="shared" si="3"/>
        <v>0</v>
      </c>
      <c r="F30" s="10" t="str">
        <f t="shared" si="1"/>
        <v/>
      </c>
      <c r="G30" s="9">
        <f t="shared" si="2"/>
        <v>600</v>
      </c>
    </row>
    <row r="31" spans="1:7" x14ac:dyDescent="0.2">
      <c r="A31" s="6">
        <v>23</v>
      </c>
      <c r="B31" s="7">
        <v>46135</v>
      </c>
      <c r="C31" s="8">
        <v>5147</v>
      </c>
      <c r="D31" s="9">
        <f t="shared" si="0"/>
        <v>147</v>
      </c>
      <c r="E31" s="9">
        <f t="shared" si="3"/>
        <v>72</v>
      </c>
      <c r="F31" s="10" t="str">
        <f t="shared" si="1"/>
        <v/>
      </c>
      <c r="G31" s="9">
        <f t="shared" si="2"/>
        <v>600</v>
      </c>
    </row>
    <row r="32" spans="1:7" x14ac:dyDescent="0.2">
      <c r="A32" s="6">
        <v>24</v>
      </c>
      <c r="B32" s="7">
        <v>46136</v>
      </c>
      <c r="C32" s="8">
        <v>4981</v>
      </c>
      <c r="D32" s="9">
        <f t="shared" si="0"/>
        <v>-19</v>
      </c>
      <c r="E32" s="9">
        <f t="shared" si="3"/>
        <v>0</v>
      </c>
      <c r="F32" s="10" t="str">
        <f t="shared" si="1"/>
        <v/>
      </c>
      <c r="G32" s="9">
        <f t="shared" si="2"/>
        <v>600</v>
      </c>
    </row>
    <row r="33" spans="1:7" x14ac:dyDescent="0.2">
      <c r="A33" s="6">
        <v>25</v>
      </c>
      <c r="B33" s="7">
        <v>46137</v>
      </c>
      <c r="C33" s="8">
        <v>4949</v>
      </c>
      <c r="D33" s="9">
        <f t="shared" si="0"/>
        <v>-51</v>
      </c>
      <c r="E33" s="9">
        <f t="shared" si="3"/>
        <v>0</v>
      </c>
      <c r="F33" s="10" t="str">
        <f t="shared" si="1"/>
        <v/>
      </c>
      <c r="G33" s="9">
        <f t="shared" si="2"/>
        <v>600</v>
      </c>
    </row>
    <row r="34" spans="1:7" x14ac:dyDescent="0.2">
      <c r="A34" s="6">
        <v>26</v>
      </c>
      <c r="B34" s="7">
        <v>46138</v>
      </c>
      <c r="C34" s="8">
        <v>4958</v>
      </c>
      <c r="D34" s="9">
        <f t="shared" si="0"/>
        <v>-42</v>
      </c>
      <c r="E34" s="9">
        <f t="shared" si="3"/>
        <v>0</v>
      </c>
      <c r="F34" s="10" t="str">
        <f t="shared" si="1"/>
        <v/>
      </c>
      <c r="G34" s="9">
        <f t="shared" si="2"/>
        <v>600</v>
      </c>
    </row>
    <row r="35" spans="1:7" x14ac:dyDescent="0.2">
      <c r="A35" s="6">
        <v>27</v>
      </c>
      <c r="B35" s="7">
        <v>46139</v>
      </c>
      <c r="C35" s="8">
        <v>5064</v>
      </c>
      <c r="D35" s="9">
        <f t="shared" si="0"/>
        <v>64</v>
      </c>
      <c r="E35" s="9">
        <f t="shared" si="3"/>
        <v>0</v>
      </c>
      <c r="F35" s="10" t="str">
        <f t="shared" si="1"/>
        <v/>
      </c>
      <c r="G35" s="9">
        <f t="shared" si="2"/>
        <v>600</v>
      </c>
    </row>
    <row r="36" spans="1:7" x14ac:dyDescent="0.2">
      <c r="A36" s="6">
        <v>28</v>
      </c>
      <c r="B36" s="7">
        <v>46140</v>
      </c>
      <c r="C36" s="8">
        <v>5044</v>
      </c>
      <c r="D36" s="9">
        <f t="shared" si="0"/>
        <v>44</v>
      </c>
      <c r="E36" s="9">
        <f t="shared" si="3"/>
        <v>0</v>
      </c>
      <c r="F36" s="10" t="str">
        <f t="shared" si="1"/>
        <v/>
      </c>
      <c r="G36" s="9">
        <f t="shared" si="2"/>
        <v>600</v>
      </c>
    </row>
    <row r="37" spans="1:7" x14ac:dyDescent="0.2">
      <c r="A37" s="6">
        <v>29</v>
      </c>
      <c r="B37" s="7">
        <v>46141</v>
      </c>
      <c r="C37" s="8">
        <v>5050</v>
      </c>
      <c r="D37" s="9">
        <f t="shared" si="0"/>
        <v>50</v>
      </c>
      <c r="E37" s="9">
        <f t="shared" si="3"/>
        <v>0</v>
      </c>
      <c r="F37" s="10" t="str">
        <f t="shared" si="1"/>
        <v/>
      </c>
      <c r="G37" s="9">
        <f t="shared" si="2"/>
        <v>600</v>
      </c>
    </row>
    <row r="38" spans="1:7" x14ac:dyDescent="0.2">
      <c r="A38" s="6">
        <v>30</v>
      </c>
      <c r="B38" s="7">
        <v>46142</v>
      </c>
      <c r="C38" s="8">
        <v>5052</v>
      </c>
      <c r="D38" s="9">
        <f t="shared" si="0"/>
        <v>52</v>
      </c>
      <c r="E38" s="9">
        <f t="shared" si="3"/>
        <v>0</v>
      </c>
      <c r="F38" s="10" t="str">
        <f t="shared" si="1"/>
        <v/>
      </c>
      <c r="G38" s="9">
        <f t="shared" si="2"/>
        <v>600</v>
      </c>
    </row>
    <row r="39" spans="1:7" x14ac:dyDescent="0.2">
      <c r="A39" s="6">
        <v>31</v>
      </c>
      <c r="B39" s="7">
        <v>46143</v>
      </c>
      <c r="C39" s="8">
        <v>5257</v>
      </c>
      <c r="D39" s="9">
        <f t="shared" si="0"/>
        <v>257</v>
      </c>
      <c r="E39" s="9">
        <f t="shared" si="3"/>
        <v>182</v>
      </c>
      <c r="F39" s="10" t="str">
        <f t="shared" si="1"/>
        <v/>
      </c>
      <c r="G39" s="9">
        <f t="shared" si="2"/>
        <v>600</v>
      </c>
    </row>
    <row r="40" spans="1:7" x14ac:dyDescent="0.2">
      <c r="A40" s="6">
        <v>32</v>
      </c>
      <c r="B40" s="7">
        <v>46144</v>
      </c>
      <c r="C40" s="8">
        <v>4951</v>
      </c>
      <c r="D40" s="9">
        <f t="shared" si="0"/>
        <v>-49</v>
      </c>
      <c r="E40" s="9">
        <f t="shared" si="3"/>
        <v>58</v>
      </c>
      <c r="F40" s="10" t="str">
        <f t="shared" si="1"/>
        <v/>
      </c>
      <c r="G40" s="9">
        <f t="shared" si="2"/>
        <v>600</v>
      </c>
    </row>
    <row r="41" spans="1:7" x14ac:dyDescent="0.2">
      <c r="A41" s="6">
        <v>33</v>
      </c>
      <c r="B41" s="7">
        <v>46145</v>
      </c>
      <c r="C41" s="8">
        <v>4939</v>
      </c>
      <c r="D41" s="9">
        <f t="shared" ref="D41:D72" si="4">C41-$B$3</f>
        <v>-61</v>
      </c>
      <c r="E41" s="9">
        <f t="shared" si="3"/>
        <v>0</v>
      </c>
      <c r="F41" s="10" t="str">
        <f t="shared" ref="F41:F72" si="5">IF(E41&gt;$B$5,"ALERT","")</f>
        <v/>
      </c>
      <c r="G41" s="9">
        <f t="shared" ref="G41:G68" si="6">$B$5</f>
        <v>600</v>
      </c>
    </row>
    <row r="42" spans="1:7" x14ac:dyDescent="0.2">
      <c r="A42" s="6">
        <v>34</v>
      </c>
      <c r="B42" s="7">
        <v>46146</v>
      </c>
      <c r="C42" s="8">
        <v>4902</v>
      </c>
      <c r="D42" s="9">
        <f t="shared" si="4"/>
        <v>-98</v>
      </c>
      <c r="E42" s="9">
        <f t="shared" ref="E42:E73" si="7">MAX(0,E41+D42-$B$4)</f>
        <v>0</v>
      </c>
      <c r="F42" s="10" t="str">
        <f t="shared" si="5"/>
        <v/>
      </c>
      <c r="G42" s="9">
        <f t="shared" si="6"/>
        <v>600</v>
      </c>
    </row>
    <row r="43" spans="1:7" x14ac:dyDescent="0.2">
      <c r="A43" s="6">
        <v>35</v>
      </c>
      <c r="B43" s="7">
        <v>46147</v>
      </c>
      <c r="C43" s="8">
        <v>5074</v>
      </c>
      <c r="D43" s="9">
        <f t="shared" si="4"/>
        <v>74</v>
      </c>
      <c r="E43" s="9">
        <f t="shared" si="7"/>
        <v>0</v>
      </c>
      <c r="F43" s="10" t="str">
        <f t="shared" si="5"/>
        <v/>
      </c>
      <c r="G43" s="9">
        <f t="shared" si="6"/>
        <v>600</v>
      </c>
    </row>
    <row r="44" spans="1:7" x14ac:dyDescent="0.2">
      <c r="A44" s="6">
        <v>36</v>
      </c>
      <c r="B44" s="7">
        <v>46148</v>
      </c>
      <c r="C44" s="8">
        <v>5135</v>
      </c>
      <c r="D44" s="9">
        <f t="shared" si="4"/>
        <v>135</v>
      </c>
      <c r="E44" s="9">
        <f t="shared" si="7"/>
        <v>60</v>
      </c>
      <c r="F44" s="10" t="str">
        <f t="shared" si="5"/>
        <v/>
      </c>
      <c r="G44" s="9">
        <f t="shared" si="6"/>
        <v>600</v>
      </c>
    </row>
    <row r="45" spans="1:7" x14ac:dyDescent="0.2">
      <c r="A45" s="6">
        <v>37</v>
      </c>
      <c r="B45" s="7">
        <v>46149</v>
      </c>
      <c r="C45" s="8">
        <v>4986</v>
      </c>
      <c r="D45" s="9">
        <f t="shared" si="4"/>
        <v>-14</v>
      </c>
      <c r="E45" s="9">
        <f t="shared" si="7"/>
        <v>0</v>
      </c>
      <c r="F45" s="10" t="str">
        <f t="shared" si="5"/>
        <v/>
      </c>
      <c r="G45" s="9">
        <f t="shared" si="6"/>
        <v>600</v>
      </c>
    </row>
    <row r="46" spans="1:7" x14ac:dyDescent="0.2">
      <c r="A46" s="6">
        <v>38</v>
      </c>
      <c r="B46" s="7">
        <v>46150</v>
      </c>
      <c r="C46" s="8">
        <v>4899</v>
      </c>
      <c r="D46" s="9">
        <f t="shared" si="4"/>
        <v>-101</v>
      </c>
      <c r="E46" s="9">
        <f t="shared" si="7"/>
        <v>0</v>
      </c>
      <c r="F46" s="10" t="str">
        <f t="shared" si="5"/>
        <v/>
      </c>
      <c r="G46" s="9">
        <f t="shared" si="6"/>
        <v>600</v>
      </c>
    </row>
    <row r="47" spans="1:7" x14ac:dyDescent="0.2">
      <c r="A47" s="6">
        <v>39</v>
      </c>
      <c r="B47" s="7">
        <v>46151</v>
      </c>
      <c r="C47" s="8">
        <v>4901</v>
      </c>
      <c r="D47" s="9">
        <f t="shared" si="4"/>
        <v>-99</v>
      </c>
      <c r="E47" s="9">
        <f t="shared" si="7"/>
        <v>0</v>
      </c>
      <c r="F47" s="10" t="str">
        <f t="shared" si="5"/>
        <v/>
      </c>
      <c r="G47" s="9">
        <f t="shared" si="6"/>
        <v>600</v>
      </c>
    </row>
    <row r="48" spans="1:7" x14ac:dyDescent="0.2">
      <c r="A48" s="6">
        <v>40</v>
      </c>
      <c r="B48" s="7">
        <v>46152</v>
      </c>
      <c r="C48" s="8">
        <v>5078</v>
      </c>
      <c r="D48" s="9">
        <f t="shared" si="4"/>
        <v>78</v>
      </c>
      <c r="E48" s="9">
        <f t="shared" si="7"/>
        <v>3</v>
      </c>
      <c r="F48" s="10" t="str">
        <f t="shared" si="5"/>
        <v/>
      </c>
      <c r="G48" s="9">
        <f t="shared" si="6"/>
        <v>600</v>
      </c>
    </row>
    <row r="49" spans="1:7" x14ac:dyDescent="0.2">
      <c r="A49" s="6">
        <v>41</v>
      </c>
      <c r="B49" s="7">
        <v>46153</v>
      </c>
      <c r="C49" s="8">
        <v>5119</v>
      </c>
      <c r="D49" s="9">
        <f t="shared" si="4"/>
        <v>119</v>
      </c>
      <c r="E49" s="9">
        <f t="shared" si="7"/>
        <v>47</v>
      </c>
      <c r="F49" s="10" t="str">
        <f t="shared" si="5"/>
        <v/>
      </c>
      <c r="G49" s="9">
        <f t="shared" si="6"/>
        <v>600</v>
      </c>
    </row>
    <row r="50" spans="1:7" x14ac:dyDescent="0.2">
      <c r="A50" s="6">
        <v>42</v>
      </c>
      <c r="B50" s="7">
        <v>46154</v>
      </c>
      <c r="C50" s="8">
        <v>5125</v>
      </c>
      <c r="D50" s="9">
        <f t="shared" si="4"/>
        <v>125</v>
      </c>
      <c r="E50" s="9">
        <f t="shared" si="7"/>
        <v>97</v>
      </c>
      <c r="F50" s="10" t="str">
        <f t="shared" si="5"/>
        <v/>
      </c>
      <c r="G50" s="9">
        <f t="shared" si="6"/>
        <v>600</v>
      </c>
    </row>
    <row r="51" spans="1:7" x14ac:dyDescent="0.2">
      <c r="A51" s="6">
        <v>43</v>
      </c>
      <c r="B51" s="7">
        <v>46155</v>
      </c>
      <c r="C51" s="8">
        <v>5010</v>
      </c>
      <c r="D51" s="9">
        <f t="shared" si="4"/>
        <v>10</v>
      </c>
      <c r="E51" s="9">
        <f t="shared" si="7"/>
        <v>32</v>
      </c>
      <c r="F51" s="10" t="str">
        <f t="shared" si="5"/>
        <v/>
      </c>
      <c r="G51" s="9">
        <f t="shared" si="6"/>
        <v>600</v>
      </c>
    </row>
    <row r="52" spans="1:7" x14ac:dyDescent="0.2">
      <c r="A52" s="6">
        <v>44</v>
      </c>
      <c r="B52" s="7">
        <v>46156</v>
      </c>
      <c r="C52" s="8">
        <v>5148</v>
      </c>
      <c r="D52" s="9">
        <f t="shared" si="4"/>
        <v>148</v>
      </c>
      <c r="E52" s="9">
        <f t="shared" si="7"/>
        <v>105</v>
      </c>
      <c r="F52" s="10" t="str">
        <f t="shared" si="5"/>
        <v/>
      </c>
      <c r="G52" s="9">
        <f t="shared" si="6"/>
        <v>600</v>
      </c>
    </row>
    <row r="53" spans="1:7" x14ac:dyDescent="0.2">
      <c r="A53" s="6">
        <v>45</v>
      </c>
      <c r="B53" s="7">
        <v>46157</v>
      </c>
      <c r="C53" s="8">
        <v>5164</v>
      </c>
      <c r="D53" s="9">
        <f t="shared" si="4"/>
        <v>164</v>
      </c>
      <c r="E53" s="9">
        <f t="shared" si="7"/>
        <v>194</v>
      </c>
      <c r="F53" s="10" t="str">
        <f t="shared" si="5"/>
        <v/>
      </c>
      <c r="G53" s="9">
        <f t="shared" si="6"/>
        <v>600</v>
      </c>
    </row>
    <row r="54" spans="1:7" x14ac:dyDescent="0.2">
      <c r="A54" s="6">
        <v>46</v>
      </c>
      <c r="B54" s="7">
        <v>46158</v>
      </c>
      <c r="C54" s="8">
        <v>5206</v>
      </c>
      <c r="D54" s="9">
        <f t="shared" si="4"/>
        <v>206</v>
      </c>
      <c r="E54" s="9">
        <f t="shared" si="7"/>
        <v>325</v>
      </c>
      <c r="F54" s="10" t="str">
        <f t="shared" si="5"/>
        <v/>
      </c>
      <c r="G54" s="9">
        <f t="shared" si="6"/>
        <v>600</v>
      </c>
    </row>
    <row r="55" spans="1:7" x14ac:dyDescent="0.2">
      <c r="A55" s="6">
        <v>47</v>
      </c>
      <c r="B55" s="7">
        <v>46159</v>
      </c>
      <c r="C55" s="8">
        <v>5315</v>
      </c>
      <c r="D55" s="9">
        <f t="shared" si="4"/>
        <v>315</v>
      </c>
      <c r="E55" s="9">
        <f t="shared" si="7"/>
        <v>565</v>
      </c>
      <c r="F55" s="10" t="str">
        <f t="shared" si="5"/>
        <v/>
      </c>
      <c r="G55" s="9">
        <f t="shared" si="6"/>
        <v>600</v>
      </c>
    </row>
    <row r="56" spans="1:7" x14ac:dyDescent="0.2">
      <c r="A56" s="6">
        <v>48</v>
      </c>
      <c r="B56" s="7">
        <v>46160</v>
      </c>
      <c r="C56" s="8">
        <v>5267</v>
      </c>
      <c r="D56" s="9">
        <f t="shared" si="4"/>
        <v>267</v>
      </c>
      <c r="E56" s="9">
        <f t="shared" si="7"/>
        <v>757</v>
      </c>
      <c r="F56" s="10" t="str">
        <f t="shared" si="5"/>
        <v>ALERT</v>
      </c>
      <c r="G56" s="9">
        <f t="shared" si="6"/>
        <v>600</v>
      </c>
    </row>
    <row r="57" spans="1:7" x14ac:dyDescent="0.2">
      <c r="A57" s="6">
        <v>49</v>
      </c>
      <c r="B57" s="7">
        <v>46161</v>
      </c>
      <c r="C57" s="8">
        <v>5351</v>
      </c>
      <c r="D57" s="9">
        <f t="shared" si="4"/>
        <v>351</v>
      </c>
      <c r="E57" s="9">
        <f t="shared" si="7"/>
        <v>1033</v>
      </c>
      <c r="F57" s="10" t="str">
        <f t="shared" si="5"/>
        <v>ALERT</v>
      </c>
      <c r="G57" s="9">
        <f t="shared" si="6"/>
        <v>600</v>
      </c>
    </row>
    <row r="58" spans="1:7" x14ac:dyDescent="0.2">
      <c r="A58" s="6">
        <v>50</v>
      </c>
      <c r="B58" s="7">
        <v>46162</v>
      </c>
      <c r="C58" s="8">
        <v>5308</v>
      </c>
      <c r="D58" s="9">
        <f t="shared" si="4"/>
        <v>308</v>
      </c>
      <c r="E58" s="9">
        <f t="shared" si="7"/>
        <v>1266</v>
      </c>
      <c r="F58" s="10" t="str">
        <f t="shared" si="5"/>
        <v>ALERT</v>
      </c>
      <c r="G58" s="9">
        <f t="shared" si="6"/>
        <v>600</v>
      </c>
    </row>
    <row r="59" spans="1:7" x14ac:dyDescent="0.2">
      <c r="A59" s="6">
        <v>51</v>
      </c>
      <c r="B59" s="7">
        <v>46163</v>
      </c>
      <c r="C59" s="8">
        <v>5365</v>
      </c>
      <c r="D59" s="9">
        <f t="shared" si="4"/>
        <v>365</v>
      </c>
      <c r="E59" s="9">
        <f t="shared" si="7"/>
        <v>1556</v>
      </c>
      <c r="F59" s="10" t="str">
        <f t="shared" si="5"/>
        <v>ALERT</v>
      </c>
      <c r="G59" s="9">
        <f t="shared" si="6"/>
        <v>600</v>
      </c>
    </row>
    <row r="60" spans="1:7" x14ac:dyDescent="0.2">
      <c r="A60" s="6">
        <v>52</v>
      </c>
      <c r="B60" s="7">
        <v>46164</v>
      </c>
      <c r="C60" s="8">
        <v>5436</v>
      </c>
      <c r="D60" s="9">
        <f t="shared" si="4"/>
        <v>436</v>
      </c>
      <c r="E60" s="9">
        <f t="shared" si="7"/>
        <v>1917</v>
      </c>
      <c r="F60" s="10" t="str">
        <f t="shared" si="5"/>
        <v>ALERT</v>
      </c>
      <c r="G60" s="9">
        <f t="shared" si="6"/>
        <v>600</v>
      </c>
    </row>
    <row r="61" spans="1:7" x14ac:dyDescent="0.2">
      <c r="A61" s="6">
        <v>53</v>
      </c>
      <c r="B61" s="7">
        <v>46165</v>
      </c>
      <c r="C61" s="8">
        <v>5215</v>
      </c>
      <c r="D61" s="9">
        <f t="shared" si="4"/>
        <v>215</v>
      </c>
      <c r="E61" s="9">
        <f t="shared" si="7"/>
        <v>2057</v>
      </c>
      <c r="F61" s="10" t="str">
        <f t="shared" si="5"/>
        <v>ALERT</v>
      </c>
      <c r="G61" s="9">
        <f t="shared" si="6"/>
        <v>600</v>
      </c>
    </row>
    <row r="62" spans="1:7" x14ac:dyDescent="0.2">
      <c r="A62" s="6">
        <v>54</v>
      </c>
      <c r="B62" s="7">
        <v>46166</v>
      </c>
      <c r="C62" s="8">
        <v>5382</v>
      </c>
      <c r="D62" s="9">
        <f t="shared" si="4"/>
        <v>382</v>
      </c>
      <c r="E62" s="9">
        <f t="shared" si="7"/>
        <v>2364</v>
      </c>
      <c r="F62" s="10" t="str">
        <f t="shared" si="5"/>
        <v>ALERT</v>
      </c>
      <c r="G62" s="9">
        <f t="shared" si="6"/>
        <v>600</v>
      </c>
    </row>
    <row r="63" spans="1:7" x14ac:dyDescent="0.2">
      <c r="A63" s="6">
        <v>55</v>
      </c>
      <c r="B63" s="7">
        <v>46167</v>
      </c>
      <c r="C63" s="8">
        <v>5394</v>
      </c>
      <c r="D63" s="9">
        <f t="shared" si="4"/>
        <v>394</v>
      </c>
      <c r="E63" s="9">
        <f t="shared" si="7"/>
        <v>2683</v>
      </c>
      <c r="F63" s="10" t="str">
        <f t="shared" si="5"/>
        <v>ALERT</v>
      </c>
      <c r="G63" s="9">
        <f t="shared" si="6"/>
        <v>600</v>
      </c>
    </row>
    <row r="64" spans="1:7" x14ac:dyDescent="0.2">
      <c r="A64" s="6">
        <v>56</v>
      </c>
      <c r="B64" s="7">
        <v>46168</v>
      </c>
      <c r="C64" s="8">
        <v>5403</v>
      </c>
      <c r="D64" s="9">
        <f t="shared" si="4"/>
        <v>403</v>
      </c>
      <c r="E64" s="9">
        <f t="shared" si="7"/>
        <v>3011</v>
      </c>
      <c r="F64" s="10" t="str">
        <f t="shared" si="5"/>
        <v>ALERT</v>
      </c>
      <c r="G64" s="9">
        <f t="shared" si="6"/>
        <v>600</v>
      </c>
    </row>
    <row r="65" spans="1:7" x14ac:dyDescent="0.2">
      <c r="A65" s="6">
        <v>57</v>
      </c>
      <c r="B65" s="7">
        <v>46169</v>
      </c>
      <c r="C65" s="8">
        <v>5477</v>
      </c>
      <c r="D65" s="9">
        <f t="shared" si="4"/>
        <v>477</v>
      </c>
      <c r="E65" s="9">
        <f t="shared" si="7"/>
        <v>3413</v>
      </c>
      <c r="F65" s="10" t="str">
        <f t="shared" si="5"/>
        <v>ALERT</v>
      </c>
      <c r="G65" s="9">
        <f t="shared" si="6"/>
        <v>600</v>
      </c>
    </row>
    <row r="66" spans="1:7" x14ac:dyDescent="0.2">
      <c r="A66" s="6">
        <v>58</v>
      </c>
      <c r="B66" s="7">
        <v>46170</v>
      </c>
      <c r="C66" s="8">
        <v>5719</v>
      </c>
      <c r="D66" s="9">
        <f t="shared" si="4"/>
        <v>719</v>
      </c>
      <c r="E66" s="9">
        <f t="shared" si="7"/>
        <v>4057</v>
      </c>
      <c r="F66" s="10" t="str">
        <f t="shared" si="5"/>
        <v>ALERT</v>
      </c>
      <c r="G66" s="9">
        <f t="shared" si="6"/>
        <v>600</v>
      </c>
    </row>
    <row r="67" spans="1:7" x14ac:dyDescent="0.2">
      <c r="A67" s="6">
        <v>59</v>
      </c>
      <c r="B67" s="7">
        <v>46171</v>
      </c>
      <c r="C67" s="8">
        <v>5466</v>
      </c>
      <c r="D67" s="9">
        <f t="shared" si="4"/>
        <v>466</v>
      </c>
      <c r="E67" s="9">
        <f t="shared" si="7"/>
        <v>4448</v>
      </c>
      <c r="F67" s="10" t="str">
        <f t="shared" si="5"/>
        <v>ALERT</v>
      </c>
      <c r="G67" s="9">
        <f t="shared" si="6"/>
        <v>600</v>
      </c>
    </row>
    <row r="68" spans="1:7" x14ac:dyDescent="0.2">
      <c r="A68" s="6">
        <v>60</v>
      </c>
      <c r="B68" s="7">
        <v>46172</v>
      </c>
      <c r="C68" s="8">
        <v>5716</v>
      </c>
      <c r="D68" s="9">
        <f t="shared" si="4"/>
        <v>716</v>
      </c>
      <c r="E68" s="9">
        <f t="shared" si="7"/>
        <v>5089</v>
      </c>
      <c r="F68" s="10" t="str">
        <f t="shared" si="5"/>
        <v>ALERT</v>
      </c>
      <c r="G68" s="9">
        <f t="shared" si="6"/>
        <v>600</v>
      </c>
    </row>
  </sheetData>
  <mergeCells count="1">
    <mergeCell ref="A1:G1"/>
  </mergeCells>
  <conditionalFormatting sqref="F9:F68">
    <cfRule type="cellIs" dxfId="0" priority="2" operator="equal">
      <formula>"ALERT"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3"/>
  <sheetViews>
    <sheetView zoomScaleNormal="100" workbookViewId="0"/>
  </sheetViews>
  <sheetFormatPr baseColWidth="10" defaultColWidth="8.6640625" defaultRowHeight="15" x14ac:dyDescent="0.2"/>
  <cols>
    <col min="1" max="1" width="100" customWidth="1"/>
  </cols>
  <sheetData>
    <row r="1" spans="1:1" ht="18" x14ac:dyDescent="0.2">
      <c r="A1" s="2" t="s">
        <v>11</v>
      </c>
    </row>
    <row r="2" spans="1:1" x14ac:dyDescent="0.2">
      <c r="A2" s="11"/>
    </row>
    <row r="3" spans="1:1" ht="16" x14ac:dyDescent="0.2">
      <c r="A3" s="12" t="s">
        <v>12</v>
      </c>
    </row>
    <row r="4" spans="1:1" x14ac:dyDescent="0.2">
      <c r="A4" s="11" t="s">
        <v>13</v>
      </c>
    </row>
    <row r="5" spans="1:1" x14ac:dyDescent="0.2">
      <c r="A5" s="11" t="s">
        <v>14</v>
      </c>
    </row>
    <row r="6" spans="1:1" x14ac:dyDescent="0.2">
      <c r="A6" s="11" t="s">
        <v>15</v>
      </c>
    </row>
    <row r="7" spans="1:1" x14ac:dyDescent="0.2">
      <c r="A7" s="11" t="s">
        <v>16</v>
      </c>
    </row>
    <row r="8" spans="1:1" x14ac:dyDescent="0.2">
      <c r="A8" s="11" t="s">
        <v>17</v>
      </c>
    </row>
    <row r="9" spans="1:1" x14ac:dyDescent="0.2">
      <c r="A9" s="11"/>
    </row>
    <row r="10" spans="1:1" ht="16" x14ac:dyDescent="0.2">
      <c r="A10" s="12" t="s">
        <v>18</v>
      </c>
    </row>
    <row r="11" spans="1:1" x14ac:dyDescent="0.2">
      <c r="A11" s="11" t="s">
        <v>19</v>
      </c>
    </row>
    <row r="12" spans="1:1" x14ac:dyDescent="0.2">
      <c r="A12" s="11" t="s">
        <v>20</v>
      </c>
    </row>
    <row r="13" spans="1:1" x14ac:dyDescent="0.2">
      <c r="A13" s="11" t="s">
        <v>21</v>
      </c>
    </row>
    <row r="14" spans="1:1" x14ac:dyDescent="0.2">
      <c r="A14" s="11"/>
    </row>
    <row r="15" spans="1:1" ht="16" x14ac:dyDescent="0.2">
      <c r="A15" s="12" t="s">
        <v>22</v>
      </c>
    </row>
    <row r="16" spans="1:1" x14ac:dyDescent="0.2">
      <c r="A16" s="11" t="s">
        <v>23</v>
      </c>
    </row>
    <row r="17" spans="1:1" x14ac:dyDescent="0.2">
      <c r="A17" s="11" t="s">
        <v>24</v>
      </c>
    </row>
    <row r="18" spans="1:1" x14ac:dyDescent="0.2">
      <c r="A18" s="11" t="s">
        <v>25</v>
      </c>
    </row>
    <row r="19" spans="1:1" x14ac:dyDescent="0.2">
      <c r="A19" s="11"/>
    </row>
    <row r="20" spans="1:1" ht="16" x14ac:dyDescent="0.2">
      <c r="A20" s="12" t="s">
        <v>26</v>
      </c>
    </row>
    <row r="21" spans="1:1" x14ac:dyDescent="0.2">
      <c r="A21" s="11" t="s">
        <v>27</v>
      </c>
    </row>
    <row r="22" spans="1:1" x14ac:dyDescent="0.2">
      <c r="A22" s="11" t="s">
        <v>28</v>
      </c>
    </row>
    <row r="23" spans="1:1" x14ac:dyDescent="0.2">
      <c r="A23" s="11" t="s">
        <v>29</v>
      </c>
    </row>
    <row r="24" spans="1:1" x14ac:dyDescent="0.2">
      <c r="A24" s="11"/>
    </row>
    <row r="25" spans="1:1" ht="16" x14ac:dyDescent="0.2">
      <c r="A25" s="12" t="s">
        <v>30</v>
      </c>
    </row>
    <row r="26" spans="1:1" x14ac:dyDescent="0.2">
      <c r="A26" s="11" t="s">
        <v>31</v>
      </c>
    </row>
    <row r="27" spans="1:1" x14ac:dyDescent="0.2">
      <c r="A27" s="11" t="s">
        <v>32</v>
      </c>
    </row>
    <row r="28" spans="1:1" x14ac:dyDescent="0.2">
      <c r="A28" s="11" t="s">
        <v>33</v>
      </c>
    </row>
    <row r="29" spans="1:1" x14ac:dyDescent="0.2">
      <c r="A29" s="11"/>
    </row>
    <row r="30" spans="1:1" ht="16" x14ac:dyDescent="0.2">
      <c r="A30" s="12" t="s">
        <v>34</v>
      </c>
    </row>
    <row r="31" spans="1:1" x14ac:dyDescent="0.2">
      <c r="A31" s="11" t="s">
        <v>35</v>
      </c>
    </row>
    <row r="32" spans="1:1" x14ac:dyDescent="0.2">
      <c r="A32" s="11" t="s">
        <v>36</v>
      </c>
    </row>
    <row r="33" spans="1:1" x14ac:dyDescent="0.2">
      <c r="A33" s="11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CUSUM Model</vt:lpstr>
      <vt:lpstr>How it works</vt:lpstr>
    </vt:vector>
  </TitlesOfParts>
  <Manager/>
  <Company>Marketing Data Science blog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CUSUM Anomaly Detection</dc:title>
  <dc:subject/>
  <dc:creator>Joe Domaleski</dc:creator>
  <cp:keywords/>
  <dc:description/>
  <cp:lastModifiedBy>Joe Domaleski</cp:lastModifiedBy>
  <cp:revision>1</cp:revision>
  <dcterms:created xsi:type="dcterms:W3CDTF">2026-06-12T16:40:58Z</dcterms:created>
  <dcterms:modified xsi:type="dcterms:W3CDTF">2026-06-12T20:12:38Z</dcterms:modified>
  <cp:category/>
  <dc:language>en-US</dc:language>
</cp:coreProperties>
</file>